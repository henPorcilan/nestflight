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view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<sst xmlns="http://schemas.openxmlformats.org/spreadsheetml/2006/main" count="28" uniqueCount="27">
  <si>
    <t xml:space="preserve">#</t>
  </si>
  <si>
    <t xml:space="preserve">Date</t>
  </si>
  <si>
    <t xml:space="preserve">Name / Contact</t>
  </si>
  <si>
    <t xml:space="preserve">Channel</t>
  </si>
  <si>
    <t xml:space="preserve">Problem confirmed? (Y/N)</t>
  </si>
  <si>
    <t xml:space="preserve">Current workaround</t>
  </si>
  <si>
    <t xml:space="preserve">Points/miles held (program + amount)</t>
  </si>
  <si>
    <t xml:space="preserve">Willingness-to-pay signal</t>
  </si>
  <si>
    <t xml:space="preserve">Best quote</t>
  </si>
  <si>
    <t xml:space="preserve">Referral given? (Y/N)</t>
  </si>
  <si>
    <t xml:space="preserve">2026-07-29</t>
  </si>
  <si>
    <t xml:space="preserve">Jane D. (personal network)</t>
  </si>
  <si>
    <t xml:space="preserve">Personal network</t>
  </si>
  <si>
    <t xml:space="preserve">Y</t>
  </si>
  <si>
    <t xml:space="preserve">Shared Google Calendar + manual Google Flights search</t>
  </si>
  <si>
    <t xml:space="preserve">Chase UR: ~60k, Delta SkyMiles: ~20k</t>
  </si>
  <si>
    <t xml:space="preserve">"$10-15/mo if it actually saved me the research time"</t>
  </si>
  <si>
    <t xml:space="preserve">"I missed a $300 fare because I didn't check for two weeks"</t>
  </si>
  <si>
    <t xml:space="preserve">Nestflight — Interview Tracker Summary</t>
  </si>
  <si>
    <t xml:space="preserve">Total interviews logged</t>
  </si>
  <si>
    <t xml:space="preserve">Problem confirmed (Y)</t>
  </si>
  <si>
    <t xml:space="preserve">Problem confirmed rate</t>
  </si>
  <si>
    <t xml:space="preserve">Referrals given (Y)</t>
  </si>
  <si>
    <t xml:space="preserve">Target interviews (Phase 0)</t>
  </si>
  <si>
    <t xml:space="preserve">% of target reached</t>
  </si>
  <si>
    <t xml:space="preserve">What 'good' looks like (from docs/parent-interview-script.md):</t>
  </si>
  <si>
    <t xml:space="preserve">Majority describe the problem unprompted; a third have missed a deal/booked wrong season; some give a real willingness-to-pay number.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</si>
</sst>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B254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4748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54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B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.75" hidden="false" customHeight="tru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13</v>
      </c>
    </row>
    <row r="3" customFormat="false" ht="19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9.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19.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9.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19.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</row>
    <row r="8" customFormat="false" ht="19.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9.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9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9.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9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9.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9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9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9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9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9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9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9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9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9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9.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9.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9.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9.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9.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9.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9.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9.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9.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9.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9.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9.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9.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9.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9.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9.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9.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9.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9.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9.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4" t="s">
        <v>18</v>
      </c>
    </row>
    <row r="3" customFormat="false" ht="15" hidden="false" customHeight="false" outlineLevel="0" collapsed="false">
      <c r="A3" s="5" t="s">
        <v>19</v>
      </c>
      <c r="B3" s="6" t="n">
        <f aca="false">COUNTA(Interviews!A3:A200)</f>
        <v>0</v>
      </c>
    </row>
    <row r="4" customFormat="false" ht="15" hidden="false" customHeight="false" outlineLevel="0" collapsed="false">
      <c r="A4" s="5" t="s">
        <v>20</v>
      </c>
      <c r="B4" s="6" t="n">
        <f aca="false">COUNTIF(Interviews!E3:E200,"Y")</f>
        <v>0</v>
      </c>
    </row>
    <row r="5" customFormat="false" ht="15" hidden="false" customHeight="false" outlineLevel="0" collapsed="false">
      <c r="A5" s="5" t="s">
        <v>21</v>
      </c>
      <c r="B5" s="7" t="n">
        <f aca="false">IFERROR(B3/B2,0)</f>
        <v>0</v>
      </c>
    </row>
    <row r="6" customFormat="false" ht="15" hidden="false" customHeight="false" outlineLevel="0" collapsed="false">
      <c r="A6" s="5" t="s">
        <v>22</v>
      </c>
      <c r="B6" s="6" t="n">
        <f aca="false">COUNTIF(Interviews!J3:J200,"Y")</f>
        <v>0</v>
      </c>
    </row>
    <row r="7" customFormat="false" ht="15" hidden="false" customHeight="false" outlineLevel="0" collapsed="false">
      <c r="A7" s="5" t="s">
        <v>23</v>
      </c>
      <c r="B7" s="6" t="n">
        <v>30</v>
      </c>
    </row>
    <row r="8" customFormat="false" ht="15" hidden="false" customHeight="false" outlineLevel="0" collapsed="false">
      <c r="A8" s="5" t="s">
        <v>24</v>
      </c>
      <c r="B8" s="7" t="n">
        <f aca="false">IFERROR(B2/B6,0)</f>
        <v>0</v>
      </c>
    </row>
    <row r="10" customFormat="false" ht="15" hidden="false" customHeight="false" outlineLevel="0" collapsed="false">
      <c r="A10" s="8" t="s">
        <v>25</v>
      </c>
    </row>
    <row r="11" customFormat="false" ht="30" hidden="false" customHeight="true" outlineLevel="0" collapsed="false">
      <c r="A11" s="9" t="s">
        <v>26</v>
      </c>
      <c r="B11" s="9"/>
      <c r="C11" s="9"/>
      <c r="D11" s="9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2026-07-28T11:55:34Z</dcterms:created>
  <dc:creator>openpyxl</dc:creator>
  <dc:description/>
  <dc:language>en-US</dc:language>
  <cp:lastModifiedBy/>
  <dcterms:modified xsi:type="dcterms:W3CDTF">2026-07-28T11:55:34Z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